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1A365D"/>
      <sz val="14"/>
    </font>
    <font>
      <name val="Segoe UI"/>
      <b val="1"/>
      <color rgb="00FFFFFF"/>
      <sz val="11"/>
    </font>
    <font>
      <name val="Segoe UI"/>
      <b val="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План vs Факт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'Сводка'!B3</f>
            </strRef>
          </tx>
          <spPr>
            <a:ln>
              <a:prstDash val="solid"/>
            </a:ln>
          </spPr>
          <cat>
            <numRef>
              <f>'Сводка'!$A$4:$A$6</f>
            </numRef>
          </cat>
          <val>
            <numRef>
              <f>'Сводка'!$B$4:$B$6</f>
            </numRef>
          </val>
        </ser>
        <ser>
          <idx val="1"/>
          <order val="1"/>
          <tx>
            <strRef>
              <f>'Сводка'!C3</f>
            </strRef>
          </tx>
          <spPr>
            <a:ln>
              <a:prstDash val="solid"/>
            </a:ln>
          </spPr>
          <cat>
            <numRef>
              <f>'Сводка'!$A$4:$A$6</f>
            </numRef>
          </cat>
          <val>
            <numRef>
              <f>'Сводка'!$C$4:$C$6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Исполнение бюджета</t>
        </is>
      </c>
    </row>
    <row r="2"/>
    <row r="3">
      <c r="A3" s="2" t="inlineStr">
        <is>
          <t>Категория</t>
        </is>
      </c>
      <c r="B3" s="2" t="inlineStr">
        <is>
          <t>План, ₽</t>
        </is>
      </c>
      <c r="C3" s="2" t="inlineStr">
        <is>
          <t>Факт, ₽</t>
        </is>
      </c>
      <c r="D3" s="2" t="inlineStr">
        <is>
          <t>Отклонение, ₽</t>
        </is>
      </c>
      <c r="E3" s="2" t="inlineStr">
        <is>
          <t>% Выполнения</t>
        </is>
      </c>
    </row>
    <row r="4">
      <c r="A4" s="3" t="inlineStr">
        <is>
          <t>Металл</t>
        </is>
      </c>
      <c r="B4" s="4" t="n">
        <v>5000000</v>
      </c>
      <c r="C4" s="4" t="n">
        <v>4800000</v>
      </c>
      <c r="D4" s="4">
        <f>C4-B4</f>
        <v/>
      </c>
      <c r="E4" s="5">
        <f>C4/B4</f>
        <v/>
      </c>
    </row>
    <row r="5">
      <c r="A5" s="3" t="inlineStr">
        <is>
          <t>Логистика</t>
        </is>
      </c>
      <c r="B5" s="4" t="n">
        <v>1200000</v>
      </c>
      <c r="C5" s="4" t="n">
        <v>1350000</v>
      </c>
      <c r="D5" s="4">
        <f>C5-B5</f>
        <v/>
      </c>
      <c r="E5" s="5">
        <f>C5/B5</f>
        <v/>
      </c>
    </row>
    <row r="6">
      <c r="A6" s="3" t="inlineStr">
        <is>
          <t>IT</t>
        </is>
      </c>
      <c r="B6" s="4" t="n">
        <v>400000</v>
      </c>
      <c r="C6" s="4" t="n">
        <v>390000</v>
      </c>
      <c r="D6" s="4">
        <f>C6-B6</f>
        <v/>
      </c>
      <c r="E6" s="5">
        <f>C6/B6</f>
        <v/>
      </c>
    </row>
    <row r="7">
      <c r="A7" s="6" t="inlineStr">
        <is>
          <t>ИТОГО</t>
        </is>
      </c>
      <c r="B7" s="4">
        <f>SUM(B4:B6)</f>
        <v/>
      </c>
      <c r="C7" s="4">
        <f>SUM(C4:C6)</f>
        <v/>
      </c>
      <c r="D7" s="4">
        <f>C7-B7</f>
        <v/>
      </c>
      <c r="E7" s="5">
        <f>C7/B7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2026-08-20T06:47:35Z</dcterms:created>
  <dcterms:modified xsi:type="dcterms:W3CDTF">2026-08-20T06:47:35Z</dcterms:modified>
</cp:coreProperties>
</file>